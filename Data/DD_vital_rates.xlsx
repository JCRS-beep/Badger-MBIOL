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unioxfordnexus-my.sharepoint.com/personal/wadh6549_ox_ac_uk/Documents/UNI/Masters/Project resources/Badger-MBIOL/Data/"/>
    </mc:Choice>
  </mc:AlternateContent>
  <xr:revisionPtr revIDLastSave="244" documentId="11_F25DC773A252ABDACC104897F11C74365ADE58E9" xr6:coauthVersionLast="47" xr6:coauthVersionMax="47" xr10:uidLastSave="{69950054-B108-40C2-AA58-4DDF7B1553E6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G9" i="2"/>
  <c r="G8" i="2"/>
  <c r="G7" i="2"/>
  <c r="G6" i="2"/>
  <c r="G5" i="2"/>
  <c r="G4" i="2"/>
  <c r="G3" i="2"/>
  <c r="G2" i="2"/>
  <c r="J4" i="1"/>
  <c r="J6" i="1"/>
  <c r="J7" i="1"/>
  <c r="J9" i="1"/>
  <c r="J10" i="1"/>
  <c r="J3" i="1"/>
  <c r="I6" i="1"/>
  <c r="I7" i="1"/>
  <c r="I9" i="1"/>
  <c r="I10" i="1"/>
  <c r="I4" i="1"/>
  <c r="I3" i="1"/>
  <c r="F3" i="1"/>
  <c r="F2" i="1"/>
  <c r="H9" i="1"/>
  <c r="H8" i="1"/>
  <c r="H6" i="1"/>
  <c r="H5" i="1"/>
  <c r="H3" i="1"/>
  <c r="H2" i="1"/>
  <c r="E3" i="1"/>
  <c r="E4" i="1"/>
  <c r="E6" i="1"/>
  <c r="E7" i="1"/>
  <c r="E9" i="1"/>
  <c r="E10" i="1"/>
  <c r="F6" i="1"/>
  <c r="F7" i="1"/>
  <c r="F8" i="1"/>
  <c r="F9" i="1"/>
  <c r="F10" i="1"/>
  <c r="F5" i="1"/>
  <c r="F4" i="1"/>
  <c r="D10" i="1"/>
  <c r="D9" i="1"/>
  <c r="D8" i="1"/>
  <c r="D7" i="1"/>
  <c r="D6" i="1"/>
  <c r="D5" i="1"/>
  <c r="D4" i="1"/>
  <c r="D3" i="1"/>
  <c r="D2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<sst xmlns="http://schemas.openxmlformats.org/spreadsheetml/2006/main" count="51" uniqueCount="15">
  <si>
    <t>Year</t>
  </si>
  <si>
    <t>Site</t>
  </si>
  <si>
    <t>Density</t>
  </si>
  <si>
    <t>Cub_prop</t>
  </si>
  <si>
    <t>Cub_death</t>
  </si>
  <si>
    <t>WW</t>
  </si>
  <si>
    <t>WP</t>
  </si>
  <si>
    <t>NN</t>
  </si>
  <si>
    <t>NA</t>
  </si>
  <si>
    <t>AY_prop</t>
  </si>
  <si>
    <t>Yearling_prop_A</t>
  </si>
  <si>
    <t>Births_ff</t>
  </si>
  <si>
    <t>Yearling_prop_t</t>
  </si>
  <si>
    <t>Adult_prop_t</t>
  </si>
  <si>
    <t>Births_f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</si>
</sst>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zoomScale="94" zoomScaleNormal="160" workbookViewId="0">
      <selection activeCell="K1" sqref="K1"/>
    </sheetView>
  </sheetViews>
  <sheetFormatPr defaultRowHeight="14.4" x14ac:dyDescent="0.3"/>
  <sheetData>
    <row r="1" spans="1:10" x14ac:dyDescent="0.3">
      <c r="A1" t="s">
        <v>1</v>
      </c>
      <c r="B1" t="s">
        <v>0</v>
      </c>
      <c r="C1" t="s">
        <v>2</v>
      </c>
      <c r="D1" t="s">
        <v>3</v>
      </c>
      <c r="E1" t="s">
        <v>10</v>
      </c>
      <c r="F1" t="s">
        <v>9</v>
      </c>
      <c r="G1" t="s">
        <v>11</v>
      </c>
      <c r="H1" t="s">
        <v>4</v>
      </c>
      <c r="I1" t="s">
        <v>12</v>
      </c>
      <c r="J1" t="s">
        <v>13</v>
      </c>
    </row>
    <row r="2" spans="1:10" x14ac:dyDescent="0.3">
      <c r="A2" t="s">
        <v>5</v>
      </c>
      <c r="B2">
        <v>1995</v>
      </c>
      <c r="C2">
        <f>AVERAGE(34,31,27)</f>
        <v>30.666666666666668</v>
      </c>
      <c r="D2">
        <f>AVERAGE(19.9,20,19.8)</f>
        <v>19.900000000000002</v>
      </c>
      <c r="E2" t="s">
        <v>8</v>
      </c>
      <c r="F2">
        <f>100-D2</f>
        <v>80.099999999999994</v>
      </c>
      <c r="G2">
        <v>0.31</v>
      </c>
      <c r="H2">
        <f>AVERAGE(0.0005,0.0028)</f>
        <v>1.65E-3</v>
      </c>
      <c r="I2" t="s">
        <v>8</v>
      </c>
      <c r="J2" t="s">
        <v>8</v>
      </c>
    </row>
    <row r="3" spans="1:10" x14ac:dyDescent="0.3">
      <c r="A3" t="s">
        <v>5</v>
      </c>
      <c r="B3">
        <v>1996</v>
      </c>
      <c r="C3">
        <f>AVERAGE(39,37,36)</f>
        <v>37.333333333333336</v>
      </c>
      <c r="D3">
        <f>AVERAGE(22,23,9.5)</f>
        <v>18.166666666666668</v>
      </c>
      <c r="E3">
        <f>AVERAGE(16,17,18.5)</f>
        <v>17.166666666666668</v>
      </c>
      <c r="F3">
        <f>100-D3</f>
        <v>81.833333333333329</v>
      </c>
      <c r="G3">
        <v>0.3</v>
      </c>
      <c r="H3">
        <f>AVERAGE(0.0002,0.0076)</f>
        <v>3.8999999999999998E-3</v>
      </c>
      <c r="I3">
        <f>E3/100 *F3</f>
        <v>14.048055555555557</v>
      </c>
      <c r="J3">
        <f>100-I3-E3</f>
        <v>68.785277777777779</v>
      </c>
    </row>
    <row r="4" spans="1:10" x14ac:dyDescent="0.3">
      <c r="A4" t="s">
        <v>5</v>
      </c>
      <c r="B4">
        <v>1997</v>
      </c>
      <c r="C4">
        <f>AVERAGE(36,31)</f>
        <v>33.5</v>
      </c>
      <c r="D4">
        <f>AVERAGE(35,26)</f>
        <v>30.5</v>
      </c>
      <c r="E4">
        <f>10</f>
        <v>10</v>
      </c>
      <c r="F4">
        <f>100-D4</f>
        <v>69.5</v>
      </c>
      <c r="G4">
        <v>0.53</v>
      </c>
      <c r="H4">
        <v>5.5999999999999999E-3</v>
      </c>
      <c r="I4">
        <f>E4/100 *F4</f>
        <v>6.95</v>
      </c>
      <c r="J4">
        <f t="shared" ref="J4:J10" si="0">100-I4-E4</f>
        <v>83.05</v>
      </c>
    </row>
    <row r="5" spans="1:10" x14ac:dyDescent="0.3">
      <c r="A5" t="s">
        <v>6</v>
      </c>
      <c r="B5">
        <v>1995</v>
      </c>
      <c r="C5">
        <f>AVERAGE(26,24,22)</f>
        <v>24</v>
      </c>
      <c r="D5">
        <f>AVERAGE(25,20.1,19.9)</f>
        <v>21.666666666666668</v>
      </c>
      <c r="E5" t="s">
        <v>8</v>
      </c>
      <c r="F5">
        <f>100-D5</f>
        <v>78.333333333333329</v>
      </c>
      <c r="G5">
        <v>0.32</v>
      </c>
      <c r="H5">
        <f>AVERAGE(0.0047,0.0027)</f>
        <v>3.7000000000000002E-3</v>
      </c>
      <c r="I5" t="s">
        <v>8</v>
      </c>
      <c r="J5" t="s">
        <v>8</v>
      </c>
    </row>
    <row r="6" spans="1:10" x14ac:dyDescent="0.3">
      <c r="A6" t="s">
        <v>6</v>
      </c>
      <c r="B6">
        <v>1996</v>
      </c>
      <c r="C6">
        <f>AVERAGE(21,20,19)</f>
        <v>20</v>
      </c>
      <c r="D6">
        <f>AVERAGE(19,12,15.5)</f>
        <v>15.5</v>
      </c>
      <c r="E6">
        <f>AVERAGE(19,19,4,21)</f>
        <v>15.75</v>
      </c>
      <c r="F6">
        <f t="shared" ref="F6:F10" si="1">100-D6</f>
        <v>84.5</v>
      </c>
      <c r="G6">
        <v>0.26</v>
      </c>
      <c r="H6">
        <f>AVERAGE(0.0055,-0.002)</f>
        <v>1.7499999999999998E-3</v>
      </c>
      <c r="I6">
        <f t="shared" ref="I5:I10" si="2">E6/100 *F6</f>
        <v>13.30875</v>
      </c>
      <c r="J6">
        <f t="shared" si="0"/>
        <v>70.941249999999997</v>
      </c>
    </row>
    <row r="7" spans="1:10" x14ac:dyDescent="0.3">
      <c r="A7" t="s">
        <v>6</v>
      </c>
      <c r="B7">
        <v>1997</v>
      </c>
      <c r="C7">
        <f>AVERAGE(20,18)</f>
        <v>19</v>
      </c>
      <c r="D7">
        <f>AVERAGE(39.5,34)</f>
        <v>36.75</v>
      </c>
      <c r="E7">
        <f>AVERAGE(11,9.5)</f>
        <v>10.25</v>
      </c>
      <c r="F7">
        <f t="shared" si="1"/>
        <v>63.25</v>
      </c>
      <c r="G7">
        <v>0.45</v>
      </c>
      <c r="H7">
        <v>4.4999999999999997E-3</v>
      </c>
      <c r="I7">
        <f t="shared" si="2"/>
        <v>6.4831249999999994</v>
      </c>
      <c r="J7">
        <f t="shared" si="0"/>
        <v>83.266874999999999</v>
      </c>
    </row>
    <row r="8" spans="1:10" x14ac:dyDescent="0.3">
      <c r="A8" t="s">
        <v>7</v>
      </c>
      <c r="B8">
        <v>1995</v>
      </c>
      <c r="C8">
        <f>AVERAGE(5, 5, 3,2.7)</f>
        <v>3.9249999999999998</v>
      </c>
      <c r="D8">
        <f>AVERAGE(40,30,30)</f>
        <v>33.333333333333336</v>
      </c>
      <c r="E8" t="s">
        <v>8</v>
      </c>
      <c r="F8">
        <f t="shared" si="1"/>
        <v>66.666666666666657</v>
      </c>
      <c r="G8">
        <v>0.42</v>
      </c>
      <c r="H8">
        <f>AVERAGE(0.0032,0.0005)</f>
        <v>1.8500000000000001E-3</v>
      </c>
      <c r="I8" t="s">
        <v>8</v>
      </c>
      <c r="J8" t="s">
        <v>8</v>
      </c>
    </row>
    <row r="9" spans="1:10" x14ac:dyDescent="0.3">
      <c r="A9" t="s">
        <v>7</v>
      </c>
      <c r="B9">
        <v>1996</v>
      </c>
      <c r="C9">
        <f>AVERAGE(3.5,3.2,3.1)</f>
        <v>3.2666666666666671</v>
      </c>
      <c r="D9">
        <f>AVERAGE(39,37)</f>
        <v>38</v>
      </c>
      <c r="E9">
        <f>AVERAGE(22,20.5,37)</f>
        <v>26.5</v>
      </c>
      <c r="F9">
        <f t="shared" si="1"/>
        <v>62</v>
      </c>
      <c r="G9">
        <v>0.74</v>
      </c>
      <c r="H9">
        <f>AVERAGE(0.0018,0.002)</f>
        <v>1.9E-3</v>
      </c>
      <c r="I9">
        <f t="shared" si="2"/>
        <v>16.43</v>
      </c>
      <c r="J9">
        <f t="shared" si="0"/>
        <v>57.069999999999993</v>
      </c>
    </row>
    <row r="10" spans="1:10" x14ac:dyDescent="0.3">
      <c r="A10" t="s">
        <v>7</v>
      </c>
      <c r="B10">
        <v>1997</v>
      </c>
      <c r="C10">
        <f>AVERAGE(5.2,5.1)</f>
        <v>5.15</v>
      </c>
      <c r="D10">
        <f>AVERAGE(31,30)</f>
        <v>30.5</v>
      </c>
      <c r="E10">
        <f>AVERAGE(39.5,34)</f>
        <v>36.75</v>
      </c>
      <c r="F10">
        <f t="shared" si="1"/>
        <v>69.5</v>
      </c>
      <c r="G10">
        <v>0.28999999999999998</v>
      </c>
      <c r="H10">
        <v>4.0000000000000001E-3</v>
      </c>
      <c r="I10">
        <f t="shared" si="2"/>
        <v>25.541249999999998</v>
      </c>
      <c r="J10">
        <f t="shared" si="0"/>
        <v>37.708750000000009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04C4F-FDAE-4C68-802B-37349DF70D0E}">
  <dimension ref="A1:H10"/>
  <sheetViews>
    <sheetView tabSelected="1" workbookViewId="0">
      <selection activeCell="K9" sqref="K9"/>
    </sheetView>
  </sheetViews>
  <sheetFormatPr defaultRowHeight="14.4" x14ac:dyDescent="0.3"/>
  <sheetData>
    <row r="1" spans="1:8" x14ac:dyDescent="0.3">
      <c r="A1" t="s">
        <v>1</v>
      </c>
      <c r="B1" t="s">
        <v>0</v>
      </c>
      <c r="C1" t="s">
        <v>2</v>
      </c>
      <c r="D1" t="s">
        <v>3</v>
      </c>
      <c r="E1" t="s">
        <v>12</v>
      </c>
      <c r="F1" t="s">
        <v>13</v>
      </c>
      <c r="G1" t="s">
        <v>14</v>
      </c>
      <c r="H1" t="s">
        <v>4</v>
      </c>
    </row>
    <row r="2" spans="1:8" x14ac:dyDescent="0.3">
      <c r="A2" t="s">
        <v>5</v>
      </c>
      <c r="B2">
        <v>1995</v>
      </c>
      <c r="C2">
        <v>30.666666666666668</v>
      </c>
      <c r="D2">
        <v>19.900000000000002</v>
      </c>
      <c r="E2" t="s">
        <v>8</v>
      </c>
      <c r="F2" t="s">
        <v>8</v>
      </c>
      <c r="G2">
        <f>2*0.31</f>
        <v>0.62</v>
      </c>
      <c r="H2">
        <v>1.65E-3</v>
      </c>
    </row>
    <row r="3" spans="1:8" x14ac:dyDescent="0.3">
      <c r="A3" t="s">
        <v>5</v>
      </c>
      <c r="B3">
        <v>1996</v>
      </c>
      <c r="C3">
        <v>37.333333333333336</v>
      </c>
      <c r="D3">
        <v>18.166666666666668</v>
      </c>
      <c r="E3">
        <v>14.048055555555557</v>
      </c>
      <c r="F3">
        <v>68.785277777777779</v>
      </c>
      <c r="G3">
        <f>2*0.3</f>
        <v>0.6</v>
      </c>
      <c r="H3">
        <v>3.8999999999999998E-3</v>
      </c>
    </row>
    <row r="4" spans="1:8" x14ac:dyDescent="0.3">
      <c r="A4" t="s">
        <v>5</v>
      </c>
      <c r="B4">
        <v>1997</v>
      </c>
      <c r="C4">
        <v>33.5</v>
      </c>
      <c r="D4">
        <v>30.5</v>
      </c>
      <c r="E4">
        <v>6.95</v>
      </c>
      <c r="F4">
        <v>83.05</v>
      </c>
      <c r="G4">
        <f>2*0.53</f>
        <v>1.06</v>
      </c>
      <c r="H4">
        <v>5.5999999999999999E-3</v>
      </c>
    </row>
    <row r="5" spans="1:8" x14ac:dyDescent="0.3">
      <c r="A5" t="s">
        <v>6</v>
      </c>
      <c r="B5">
        <v>1995</v>
      </c>
      <c r="C5">
        <v>24</v>
      </c>
      <c r="D5">
        <v>21.666666666666668</v>
      </c>
      <c r="E5" t="s">
        <v>8</v>
      </c>
      <c r="F5" t="s">
        <v>8</v>
      </c>
      <c r="G5">
        <f>2*0.32</f>
        <v>0.64</v>
      </c>
      <c r="H5">
        <v>3.7000000000000002E-3</v>
      </c>
    </row>
    <row r="6" spans="1:8" x14ac:dyDescent="0.3">
      <c r="A6" t="s">
        <v>6</v>
      </c>
      <c r="B6">
        <v>1996</v>
      </c>
      <c r="C6">
        <v>20</v>
      </c>
      <c r="D6">
        <v>15.5</v>
      </c>
      <c r="E6">
        <v>13.30875</v>
      </c>
      <c r="F6">
        <v>70.941249999999997</v>
      </c>
      <c r="G6">
        <f>2*0.26</f>
        <v>0.52</v>
      </c>
      <c r="H6">
        <v>1.7499999999999998E-3</v>
      </c>
    </row>
    <row r="7" spans="1:8" x14ac:dyDescent="0.3">
      <c r="A7" t="s">
        <v>6</v>
      </c>
      <c r="B7">
        <v>1997</v>
      </c>
      <c r="C7">
        <v>19</v>
      </c>
      <c r="D7">
        <v>36.75</v>
      </c>
      <c r="E7">
        <v>6.4831249999999994</v>
      </c>
      <c r="F7">
        <v>83.266874999999999</v>
      </c>
      <c r="G7">
        <f>2*0.45</f>
        <v>0.9</v>
      </c>
      <c r="H7">
        <v>4.4999999999999997E-3</v>
      </c>
    </row>
    <row r="8" spans="1:8" x14ac:dyDescent="0.3">
      <c r="A8" t="s">
        <v>7</v>
      </c>
      <c r="B8">
        <v>1995</v>
      </c>
      <c r="C8">
        <v>3.9249999999999998</v>
      </c>
      <c r="D8">
        <v>33.333333333333336</v>
      </c>
      <c r="E8" t="s">
        <v>8</v>
      </c>
      <c r="F8" t="s">
        <v>8</v>
      </c>
      <c r="G8">
        <f>2*0.42</f>
        <v>0.84</v>
      </c>
      <c r="H8">
        <v>1.8500000000000001E-3</v>
      </c>
    </row>
    <row r="9" spans="1:8" x14ac:dyDescent="0.3">
      <c r="A9" t="s">
        <v>7</v>
      </c>
      <c r="B9">
        <v>1996</v>
      </c>
      <c r="C9">
        <v>3.2666666666666671</v>
      </c>
      <c r="D9">
        <v>38</v>
      </c>
      <c r="E9">
        <v>16.43</v>
      </c>
      <c r="F9">
        <v>57.069999999999993</v>
      </c>
      <c r="G9">
        <f>2*0.74</f>
        <v>1.48</v>
      </c>
      <c r="H9">
        <v>1.9E-3</v>
      </c>
    </row>
    <row r="10" spans="1:8" x14ac:dyDescent="0.3">
      <c r="A10" t="s">
        <v>7</v>
      </c>
      <c r="B10">
        <v>1997</v>
      </c>
      <c r="C10">
        <v>5.15</v>
      </c>
      <c r="D10">
        <v>30.5</v>
      </c>
      <c r="E10">
        <v>25.541249999999998</v>
      </c>
      <c r="F10">
        <v>37.708750000000009</v>
      </c>
      <c r="G10">
        <f>2*0.29</f>
        <v>0.57999999999999996</v>
      </c>
      <c r="H10">
        <v>4.0000000000000001E-3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Creese</dc:creator>
  <cp:lastModifiedBy>Jay Creese</cp:lastModifiedBy>
  <dcterms:created xsi:type="dcterms:W3CDTF">2015-06-05T18:17:20Z</dcterms:created>
  <dcterms:modified xsi:type="dcterms:W3CDTF">2025-11-11T20:11:46Z</dcterms:modified>
</cp:coreProperties>
</file>