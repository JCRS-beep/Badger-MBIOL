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wadh6549_ox_ac_uk/Documents/UNI/Masters/Project resources/Badger-MBIOL/Data/"/>
    </mc:Choice>
  </mc:AlternateContent>
  <xr:revisionPtr revIDLastSave="34" documentId="11_F25DC773A252ABDACC104897F11C74365ADE58E9" xr6:coauthVersionLast="47" xr6:coauthVersionMax="47" xr10:uidLastSave="{0BBE5F2F-261B-417D-B11D-26CA463B5763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4" i="1"/>
</calcChain>
</file>

<file path=xl/sharedStrings.xml><?xml version="1.0" encoding="utf-8"?>
<sst xmlns="http://schemas.openxmlformats.org/spreadsheetml/2006/main" count="74" uniqueCount="71">
  <si>
    <t>(0.86,1.31)</t>
  </si>
  <si>
    <t>(1.18,1.72)</t>
  </si>
  <si>
    <t>(0.87,1.19)</t>
  </si>
  <si>
    <t>(1.01,1.37)</t>
  </si>
  <si>
    <t>(0.95,1.23)</t>
  </si>
  <si>
    <t>(0.82,1.05)</t>
  </si>
  <si>
    <t>(0.94,1.23)</t>
  </si>
  <si>
    <t>(0.94,1.2)</t>
  </si>
  <si>
    <t>(0.91,1.15)</t>
  </si>
  <si>
    <t>(0.83,1.06)</t>
  </si>
  <si>
    <t>(0.85,1.11)</t>
  </si>
  <si>
    <t>(0.66,0.9)</t>
  </si>
  <si>
    <t>(1.1,1.53)</t>
  </si>
  <si>
    <t>(1,1.31)</t>
  </si>
  <si>
    <t>(0.74,0.96)</t>
  </si>
  <si>
    <t>(0.79,1.05)</t>
  </si>
  <si>
    <t>(0.74,1.02)</t>
  </si>
  <si>
    <t>(0.7,0.97)</t>
  </si>
  <si>
    <t>(0.83,1.14)</t>
  </si>
  <si>
    <t>(0.75,1.08)</t>
  </si>
  <si>
    <t>(0.78,1.13)</t>
  </si>
  <si>
    <t>Ntot[1]</t>
  </si>
  <si>
    <t>(61.08,90.81)</t>
  </si>
  <si>
    <t>Ntot[2]</t>
  </si>
  <si>
    <t>(67.01,93.43)</t>
  </si>
  <si>
    <t>Ntot[3]</t>
  </si>
  <si>
    <t>(96.67,129.85)</t>
  </si>
  <si>
    <t>Ntot[4]</t>
  </si>
  <si>
    <t>(100.02,129.05)</t>
  </si>
  <si>
    <t>Ntot[5]</t>
  </si>
  <si>
    <t>(116.7,151.21)</t>
  </si>
  <si>
    <t>Ntot[6]</t>
  </si>
  <si>
    <t>(127.8,160.2)</t>
  </si>
  <si>
    <t>Ntot[7]</t>
  </si>
  <si>
    <t>(117.9,148.25)</t>
  </si>
  <si>
    <t>Ntot[8]</t>
  </si>
  <si>
    <t>(127.4,161.3)</t>
  </si>
  <si>
    <t>Ntot[9]</t>
  </si>
  <si>
    <t>(137.5,172.11)</t>
  </si>
  <si>
    <t>Ntot[10]</t>
  </si>
  <si>
    <t>(146.2,180.85)</t>
  </si>
  <si>
    <t>Ntot[11]</t>
  </si>
  <si>
    <t>(149.6,185.7)</t>
  </si>
  <si>
    <t>Ntot[12]</t>
  </si>
  <si>
    <t>(139.85,173.8)</t>
  </si>
  <si>
    <t>Ntot[13]</t>
  </si>
  <si>
    <t>(134.65,168.4)</t>
  </si>
  <si>
    <t>Ntot[14]</t>
  </si>
  <si>
    <t>(100.1,133.5)</t>
  </si>
  <si>
    <t>Ntot[15]</t>
  </si>
  <si>
    <t>(132.9,167.4)</t>
  </si>
  <si>
    <t>Ntot[16]</t>
  </si>
  <si>
    <t>(151.1,189.31)</t>
  </si>
  <si>
    <t>Ntot[17]</t>
  </si>
  <si>
    <t>Ntot[18]</t>
  </si>
  <si>
    <t>(114.25,146.56)</t>
  </si>
  <si>
    <t>Ntot[19]</t>
  </si>
  <si>
    <t>(96.61,128.5)</t>
  </si>
  <si>
    <t>Ntot[20]</t>
  </si>
  <si>
    <t>(79.59,105.2)</t>
  </si>
  <si>
    <t>Ntot[21]</t>
  </si>
  <si>
    <t>(76.26,103.4)</t>
  </si>
  <si>
    <t>Ntot[22]</t>
  </si>
  <si>
    <t>(68.79,93.32)</t>
  </si>
  <si>
    <t>Ntot[23]</t>
  </si>
  <si>
    <t>(62.97,90.17)</t>
  </si>
  <si>
    <t>Year</t>
  </si>
  <si>
    <t>lambda</t>
  </si>
  <si>
    <t>pop_size</t>
  </si>
  <si>
    <t>95_conf.int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</si>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</sst>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I17" sqref="I17"/>
    </sheetView>
  </sheetViews>
  <sheetFormatPr defaultRowHeight="14.4" x14ac:dyDescent="0.3"/>
  <cols>
    <col min="6" max="6" width="11.77734375" bestFit="1" customWidth="1"/>
  </cols>
  <sheetData>
    <row r="1" spans="1:6" ht="15" thickBot="1" x14ac:dyDescent="0.35">
      <c r="A1" t="s">
        <v>66</v>
      </c>
      <c r="B1" t="s">
        <v>67</v>
      </c>
      <c r="C1" t="s">
        <v>69</v>
      </c>
      <c r="D1" t="s">
        <v>68</v>
      </c>
      <c r="E1" t="s">
        <v>69</v>
      </c>
    </row>
    <row r="2" spans="1:6" ht="16.2" thickBot="1" x14ac:dyDescent="0.35">
      <c r="A2">
        <v>1984</v>
      </c>
      <c r="B2" s="1">
        <v>1.07</v>
      </c>
      <c r="C2" s="1" t="s">
        <v>0</v>
      </c>
      <c r="D2" s="2" t="s">
        <v>21</v>
      </c>
      <c r="E2" s="3">
        <v>75.55</v>
      </c>
      <c r="F2" s="3" t="s">
        <v>22</v>
      </c>
    </row>
    <row r="3" spans="1:6" ht="16.2" thickBot="1" x14ac:dyDescent="0.35">
      <c r="A3">
        <v>1985</v>
      </c>
      <c r="B3" s="3">
        <v>1.42</v>
      </c>
      <c r="C3" s="3" t="s">
        <v>1</v>
      </c>
      <c r="D3" s="2" t="s">
        <v>23</v>
      </c>
      <c r="E3" s="3">
        <v>79.89</v>
      </c>
      <c r="F3" s="3" t="s">
        <v>24</v>
      </c>
    </row>
    <row r="4" spans="1:6" ht="16.2" thickBot="1" x14ac:dyDescent="0.35">
      <c r="A4">
        <f>A3+1</f>
        <v>1986</v>
      </c>
      <c r="B4" s="3">
        <v>1.01</v>
      </c>
      <c r="C4" s="3" t="s">
        <v>2</v>
      </c>
      <c r="D4" s="2" t="s">
        <v>25</v>
      </c>
      <c r="E4" s="3">
        <v>113.06</v>
      </c>
      <c r="F4" s="3" t="s">
        <v>26</v>
      </c>
    </row>
    <row r="5" spans="1:6" ht="16.2" thickBot="1" x14ac:dyDescent="0.35">
      <c r="A5">
        <f t="shared" ref="A5:A24" si="0">A4+1</f>
        <v>1987</v>
      </c>
      <c r="B5" s="3">
        <v>1.17</v>
      </c>
      <c r="C5" s="3" t="s">
        <v>3</v>
      </c>
      <c r="D5" s="2" t="s">
        <v>27</v>
      </c>
      <c r="E5" s="3">
        <v>114.24</v>
      </c>
      <c r="F5" s="3" t="s">
        <v>28</v>
      </c>
    </row>
    <row r="6" spans="1:6" ht="16.2" thickBot="1" x14ac:dyDescent="0.35">
      <c r="A6">
        <f t="shared" si="0"/>
        <v>1988</v>
      </c>
      <c r="B6" s="3">
        <v>1.08</v>
      </c>
      <c r="C6" s="3" t="s">
        <v>4</v>
      </c>
      <c r="D6" s="2" t="s">
        <v>29</v>
      </c>
      <c r="E6" s="3">
        <v>133.25</v>
      </c>
      <c r="F6" s="3" t="s">
        <v>30</v>
      </c>
    </row>
    <row r="7" spans="1:6" ht="16.2" thickBot="1" x14ac:dyDescent="0.35">
      <c r="A7">
        <f t="shared" si="0"/>
        <v>1989</v>
      </c>
      <c r="B7" s="3">
        <v>0.93</v>
      </c>
      <c r="C7" s="3" t="s">
        <v>5</v>
      </c>
      <c r="D7" s="2" t="s">
        <v>31</v>
      </c>
      <c r="E7" s="3">
        <v>143.5</v>
      </c>
      <c r="F7" s="3" t="s">
        <v>32</v>
      </c>
    </row>
    <row r="8" spans="1:6" ht="16.2" thickBot="1" x14ac:dyDescent="0.35">
      <c r="A8">
        <f t="shared" si="0"/>
        <v>1990</v>
      </c>
      <c r="B8" s="3">
        <v>1.08</v>
      </c>
      <c r="C8" s="3" t="s">
        <v>4</v>
      </c>
      <c r="D8" s="2" t="s">
        <v>33</v>
      </c>
      <c r="E8" s="3">
        <v>132.65</v>
      </c>
      <c r="F8" s="3" t="s">
        <v>34</v>
      </c>
    </row>
    <row r="9" spans="1:6" ht="16.2" thickBot="1" x14ac:dyDescent="0.35">
      <c r="A9">
        <f t="shared" si="0"/>
        <v>1991</v>
      </c>
      <c r="B9" s="3">
        <v>1.08</v>
      </c>
      <c r="C9" s="3" t="s">
        <v>6</v>
      </c>
      <c r="D9" s="2" t="s">
        <v>35</v>
      </c>
      <c r="E9" s="3">
        <v>143.44</v>
      </c>
      <c r="F9" s="3" t="s">
        <v>36</v>
      </c>
    </row>
    <row r="10" spans="1:6" ht="16.2" thickBot="1" x14ac:dyDescent="0.35">
      <c r="A10">
        <f t="shared" si="0"/>
        <v>1992</v>
      </c>
      <c r="B10" s="3">
        <v>1.06</v>
      </c>
      <c r="C10" s="3" t="s">
        <v>7</v>
      </c>
      <c r="D10" s="2" t="s">
        <v>37</v>
      </c>
      <c r="E10" s="3">
        <v>154.41</v>
      </c>
      <c r="F10" s="3" t="s">
        <v>38</v>
      </c>
    </row>
    <row r="11" spans="1:6" ht="16.2" thickBot="1" x14ac:dyDescent="0.35">
      <c r="A11">
        <f t="shared" si="0"/>
        <v>1993</v>
      </c>
      <c r="B11" s="3">
        <v>1.03</v>
      </c>
      <c r="C11" s="3" t="s">
        <v>8</v>
      </c>
      <c r="D11" s="2" t="s">
        <v>39</v>
      </c>
      <c r="E11" s="3">
        <v>163.43</v>
      </c>
      <c r="F11" s="3" t="s">
        <v>40</v>
      </c>
    </row>
    <row r="12" spans="1:6" ht="16.2" thickBot="1" x14ac:dyDescent="0.35">
      <c r="A12">
        <f t="shared" si="0"/>
        <v>1994</v>
      </c>
      <c r="B12" s="3">
        <v>0.94</v>
      </c>
      <c r="C12" s="3" t="s">
        <v>9</v>
      </c>
      <c r="D12" s="2" t="s">
        <v>41</v>
      </c>
      <c r="E12" s="3">
        <v>167.22</v>
      </c>
      <c r="F12" s="3" t="s">
        <v>42</v>
      </c>
    </row>
    <row r="13" spans="1:6" ht="16.2" thickBot="1" x14ac:dyDescent="0.35">
      <c r="A13">
        <f t="shared" si="0"/>
        <v>1995</v>
      </c>
      <c r="B13" s="3">
        <v>0.97</v>
      </c>
      <c r="C13" s="3" t="s">
        <v>10</v>
      </c>
      <c r="D13" s="2" t="s">
        <v>43</v>
      </c>
      <c r="E13" s="3">
        <v>156.11000000000001</v>
      </c>
      <c r="F13" s="3" t="s">
        <v>44</v>
      </c>
    </row>
    <row r="14" spans="1:6" ht="16.2" thickBot="1" x14ac:dyDescent="0.35">
      <c r="A14">
        <f t="shared" si="0"/>
        <v>1996</v>
      </c>
      <c r="B14" s="3">
        <v>0.77</v>
      </c>
      <c r="C14" s="3" t="s">
        <v>11</v>
      </c>
      <c r="D14" s="2" t="s">
        <v>45</v>
      </c>
      <c r="E14" s="3">
        <v>151.16999999999999</v>
      </c>
      <c r="F14" s="3" t="s">
        <v>46</v>
      </c>
    </row>
    <row r="15" spans="1:6" ht="16.2" thickBot="1" x14ac:dyDescent="0.35">
      <c r="A15">
        <f t="shared" si="0"/>
        <v>1997</v>
      </c>
      <c r="B15" s="3">
        <v>1.3</v>
      </c>
      <c r="C15" s="3" t="s">
        <v>12</v>
      </c>
      <c r="D15" s="2" t="s">
        <v>47</v>
      </c>
      <c r="E15" s="3">
        <v>115.78</v>
      </c>
      <c r="F15" s="3" t="s">
        <v>48</v>
      </c>
    </row>
    <row r="16" spans="1:6" ht="16.2" thickBot="1" x14ac:dyDescent="0.35">
      <c r="A16">
        <f t="shared" si="0"/>
        <v>1998</v>
      </c>
      <c r="B16" s="3">
        <v>1.1299999999999999</v>
      </c>
      <c r="C16" s="3" t="s">
        <v>13</v>
      </c>
      <c r="D16" s="2" t="s">
        <v>49</v>
      </c>
      <c r="E16" s="3">
        <v>149.87</v>
      </c>
      <c r="F16" s="3" t="s">
        <v>50</v>
      </c>
    </row>
    <row r="17" spans="1:6" ht="16.2" thickBot="1" x14ac:dyDescent="0.35">
      <c r="A17">
        <f t="shared" si="0"/>
        <v>1999</v>
      </c>
      <c r="B17" s="3">
        <v>0.84</v>
      </c>
      <c r="C17" s="3" t="s">
        <v>14</v>
      </c>
      <c r="D17" s="2" t="s">
        <v>51</v>
      </c>
      <c r="E17" s="3">
        <v>169.58</v>
      </c>
      <c r="F17" s="3" t="s">
        <v>52</v>
      </c>
    </row>
    <row r="18" spans="1:6" ht="16.2" thickBot="1" x14ac:dyDescent="0.35">
      <c r="A18">
        <f t="shared" si="0"/>
        <v>2000</v>
      </c>
      <c r="B18" s="3">
        <v>0.91</v>
      </c>
      <c r="C18" s="3" t="s">
        <v>15</v>
      </c>
      <c r="D18" s="2" t="s">
        <v>53</v>
      </c>
      <c r="E18" s="3">
        <v>142.61000000000001</v>
      </c>
      <c r="F18" s="4">
        <v>-126160.1</v>
      </c>
    </row>
    <row r="19" spans="1:6" ht="16.2" thickBot="1" x14ac:dyDescent="0.35">
      <c r="A19">
        <f t="shared" si="0"/>
        <v>2001</v>
      </c>
      <c r="B19" s="3">
        <v>0.87</v>
      </c>
      <c r="C19" s="3" t="s">
        <v>16</v>
      </c>
      <c r="D19" s="2" t="s">
        <v>54</v>
      </c>
      <c r="E19" s="3">
        <v>129.66</v>
      </c>
      <c r="F19" s="3" t="s">
        <v>55</v>
      </c>
    </row>
    <row r="20" spans="1:6" ht="16.2" thickBot="1" x14ac:dyDescent="0.35">
      <c r="A20">
        <f t="shared" si="0"/>
        <v>2002</v>
      </c>
      <c r="B20" s="3">
        <v>0.82</v>
      </c>
      <c r="C20" s="3" t="s">
        <v>17</v>
      </c>
      <c r="D20" s="2" t="s">
        <v>56</v>
      </c>
      <c r="E20" s="3">
        <v>112.25</v>
      </c>
      <c r="F20" s="3" t="s">
        <v>57</v>
      </c>
    </row>
    <row r="21" spans="1:6" ht="16.2" thickBot="1" x14ac:dyDescent="0.35">
      <c r="A21">
        <f t="shared" si="0"/>
        <v>2003</v>
      </c>
      <c r="B21" s="3">
        <v>0.98</v>
      </c>
      <c r="C21" s="3" t="s">
        <v>18</v>
      </c>
      <c r="D21" s="2" t="s">
        <v>58</v>
      </c>
      <c r="E21" s="3">
        <v>91.65</v>
      </c>
      <c r="F21" s="3" t="s">
        <v>59</v>
      </c>
    </row>
    <row r="22" spans="1:6" ht="16.2" thickBot="1" x14ac:dyDescent="0.35">
      <c r="A22">
        <f t="shared" si="0"/>
        <v>2004</v>
      </c>
      <c r="B22" s="3">
        <v>0.9</v>
      </c>
      <c r="C22" s="3" t="s">
        <v>19</v>
      </c>
      <c r="D22" s="2" t="s">
        <v>60</v>
      </c>
      <c r="E22" s="3">
        <v>89.41</v>
      </c>
      <c r="F22" s="3" t="s">
        <v>61</v>
      </c>
    </row>
    <row r="23" spans="1:6" ht="16.2" thickBot="1" x14ac:dyDescent="0.35">
      <c r="A23">
        <f t="shared" si="0"/>
        <v>2005</v>
      </c>
      <c r="B23" s="3">
        <v>0.95</v>
      </c>
      <c r="C23" s="3" t="s">
        <v>20</v>
      </c>
      <c r="D23" s="2" t="s">
        <v>62</v>
      </c>
      <c r="E23" s="3">
        <v>80.12</v>
      </c>
      <c r="F23" s="3" t="s">
        <v>63</v>
      </c>
    </row>
    <row r="24" spans="1:6" ht="16.2" thickBot="1" x14ac:dyDescent="0.35">
      <c r="A24">
        <f t="shared" si="0"/>
        <v>2006</v>
      </c>
      <c r="B24" t="s">
        <v>70</v>
      </c>
      <c r="C24" s="5" t="s">
        <v>70</v>
      </c>
      <c r="D24" s="2" t="s">
        <v>64</v>
      </c>
      <c r="E24" s="3">
        <v>75.819999999999993</v>
      </c>
      <c r="F24" s="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Creese</dc:creator>
  <cp:lastModifiedBy>Jay Creese</cp:lastModifiedBy>
  <dcterms:created xsi:type="dcterms:W3CDTF">2015-06-05T18:17:20Z</dcterms:created>
  <dcterms:modified xsi:type="dcterms:W3CDTF">2026-01-30T18:35:38Z</dcterms:modified>
</cp:coreProperties>
</file>